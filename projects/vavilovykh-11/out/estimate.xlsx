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шторис електр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##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999999"/>
      <sz val="8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4D6"/>
        <b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Shtroba</author>
  </authors>
  <commentList>
    <comment ref="E7" authorId="0" shapeId="0">
      <text>
        <t>немає ціни</t>
      </text>
    </comment>
    <comment ref="E19" authorId="0" shapeId="0">
      <text>
        <t>немає ціни</t>
      </text>
    </comment>
    <comment ref="E20" authorId="0" shapeId="0">
      <text>
        <t>немає ціни</t>
      </text>
    </comment>
    <comment ref="E21" authorId="0" shapeId="0">
      <text>
        <t>немає ціни</t>
      </text>
    </comment>
    <comment ref="E22" authorId="0" shapeId="0">
      <text>
        <t>немає ціни</t>
      </text>
    </comment>
    <comment ref="E23" authorId="0" shapeId="0">
      <text>
        <t>немає ціни</t>
      </text>
    </comment>
    <comment ref="E24" authorId="0" shapeId="0">
      <text>
        <t>немає ціни</t>
      </text>
    </comment>
    <comment ref="E25" authorId="0" shapeId="0">
      <text>
        <t>немає ціни</t>
      </text>
    </comment>
    <comment ref="E26" authorId="0" shapeId="0">
      <text>
        <t>немає ціни</t>
      </text>
    </comment>
    <comment ref="E27" authorId="0" shapeId="0">
      <text>
        <t>немає ціни</t>
      </text>
    </comment>
    <comment ref="E28" authorId="0" shapeId="0">
      <text>
        <t>немає ціни</t>
      </text>
    </comment>
    <comment ref="E39" authorId="0" shapeId="0">
      <text>
        <t>немає ціни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7" customWidth="1" min="3" max="3"/>
    <col width="10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Кошторис електрики: Квартира, вул. Вавилових, 11</t>
        </is>
      </c>
    </row>
    <row r="3">
      <c r="A3" s="2" t="inlineStr">
        <is>
          <t>№</t>
        </is>
      </c>
      <c r="B3" s="2" t="inlineStr">
        <is>
          <t>Найменування</t>
        </is>
      </c>
      <c r="C3" s="2" t="inlineStr">
        <is>
          <t>Од.</t>
        </is>
      </c>
      <c r="D3" s="2" t="inlineStr">
        <is>
          <t>Кільк.</t>
        </is>
      </c>
      <c r="E3" s="2" t="inlineStr">
        <is>
          <t>Ціна, грн</t>
        </is>
      </c>
      <c r="F3" s="2" t="inlineStr">
        <is>
          <t>Сума, грн</t>
        </is>
      </c>
      <c r="G3" s="2" t="inlineStr">
        <is>
          <t>key</t>
        </is>
      </c>
    </row>
    <row r="4">
      <c r="A4" t="inlineStr"/>
      <c r="B4" s="3" t="inlineStr">
        <is>
          <t>Матеріали</t>
        </is>
      </c>
    </row>
    <row r="5">
      <c r="A5" t="n">
        <v>1</v>
      </c>
      <c r="B5" t="inlineStr">
        <is>
          <t>Кабель ВВГнг 3×1,5</t>
        </is>
      </c>
      <c r="C5" t="inlineStr">
        <is>
          <t>м</t>
        </is>
      </c>
      <c r="D5" s="4" t="n">
        <v>188.4</v>
      </c>
      <c r="E5" s="5" t="n">
        <v>45</v>
      </c>
      <c r="F5" s="6">
        <f>IF(E5="","",D5*E5)</f>
        <v/>
      </c>
      <c r="G5" s="7" t="inlineStr">
        <is>
          <t>cable.3x1.5</t>
        </is>
      </c>
    </row>
    <row r="6">
      <c r="A6" t="n">
        <v>2</v>
      </c>
      <c r="B6" t="inlineStr">
        <is>
          <t>Кабель ВВГнг 3×2,5</t>
        </is>
      </c>
      <c r="C6" t="inlineStr">
        <is>
          <t>м</t>
        </is>
      </c>
      <c r="D6" s="4" t="n">
        <v>217.9</v>
      </c>
      <c r="E6" s="5" t="n">
        <v>70</v>
      </c>
      <c r="F6" s="6">
        <f>IF(E6="","",D6*E6)</f>
        <v/>
      </c>
      <c r="G6" s="7" t="inlineStr">
        <is>
          <t>cable.3x2.5</t>
        </is>
      </c>
    </row>
    <row r="7">
      <c r="A7" t="n">
        <v>3</v>
      </c>
      <c r="B7" t="inlineStr">
        <is>
          <t>Кабель 3x4</t>
        </is>
      </c>
      <c r="C7" t="inlineStr">
        <is>
          <t>м</t>
        </is>
      </c>
      <c r="D7" s="4" t="n">
        <v>12.6</v>
      </c>
      <c r="E7" s="5" t="n"/>
      <c r="F7" s="6">
        <f>IF(E7="","",D7*E7)</f>
        <v/>
      </c>
      <c r="G7" s="7" t="inlineStr">
        <is>
          <t>cable.3x4</t>
        </is>
      </c>
    </row>
    <row r="8">
      <c r="A8" t="n">
        <v>4</v>
      </c>
      <c r="B8" t="inlineStr">
        <is>
          <t>Підрозетник</t>
        </is>
      </c>
      <c r="C8" t="inlineStr">
        <is>
          <t>шт</t>
        </is>
      </c>
      <c r="D8" s="4" t="n">
        <v>63</v>
      </c>
      <c r="E8" s="5" t="n">
        <v>20</v>
      </c>
      <c r="F8" s="6">
        <f>IF(E8="","",D8*E8)</f>
        <v/>
      </c>
      <c r="G8" s="7" t="inlineStr">
        <is>
          <t>socket_box</t>
        </is>
      </c>
    </row>
    <row r="9">
      <c r="A9" t="n">
        <v>5</v>
      </c>
      <c r="B9" t="inlineStr">
        <is>
          <t>Коробка розподільча Ø80</t>
        </is>
      </c>
      <c r="C9" t="inlineStr">
        <is>
          <t>шт</t>
        </is>
      </c>
      <c r="D9" s="4" t="n">
        <v>2</v>
      </c>
      <c r="E9" s="5" t="n">
        <v>60</v>
      </c>
      <c r="F9" s="6">
        <f>IF(E9="","",D9*E9)</f>
        <v/>
      </c>
      <c r="G9" s="7" t="inlineStr">
        <is>
          <t>junction_box.80</t>
        </is>
      </c>
    </row>
    <row r="10">
      <c r="A10" t="n">
        <v>6</v>
      </c>
      <c r="B10" t="inlineStr">
        <is>
          <t>Коробка розподільча 100×100</t>
        </is>
      </c>
      <c r="C10" t="inlineStr">
        <is>
          <t>шт</t>
        </is>
      </c>
      <c r="D10" s="4" t="n">
        <v>7</v>
      </c>
      <c r="E10" s="5" t="n">
        <v>60</v>
      </c>
      <c r="F10" s="6">
        <f>IF(E10="","",D10*E10)</f>
        <v/>
      </c>
      <c r="G10" s="7" t="inlineStr">
        <is>
          <t>junction_box.100x100</t>
        </is>
      </c>
    </row>
    <row r="11">
      <c r="A11" t="n">
        <v>7</v>
      </c>
      <c r="B11" t="inlineStr">
        <is>
          <t>Коробка розподільча 150×110</t>
        </is>
      </c>
      <c r="C11" t="inlineStr">
        <is>
          <t>шт</t>
        </is>
      </c>
      <c r="D11" s="4" t="n">
        <v>4</v>
      </c>
      <c r="E11" s="5" t="n">
        <v>60</v>
      </c>
      <c r="F11" s="6">
        <f>IF(E11="","",D11*E11)</f>
        <v/>
      </c>
      <c r="G11" s="7" t="inlineStr">
        <is>
          <t>junction_box.150x110</t>
        </is>
      </c>
    </row>
    <row r="12">
      <c r="A12" t="n">
        <v>8</v>
      </c>
      <c r="B12" t="inlineStr">
        <is>
          <t>Гільза і термоусадка (опресування)</t>
        </is>
      </c>
      <c r="C12" t="inlineStr">
        <is>
          <t>шт</t>
        </is>
      </c>
      <c r="D12" s="4" t="n">
        <v>55</v>
      </c>
      <c r="E12" s="5" t="n">
        <v>8</v>
      </c>
      <c r="F12" s="6">
        <f>IF(E12="","",D12*E12)</f>
        <v/>
      </c>
      <c r="G12" s="7" t="inlineStr">
        <is>
          <t>crimp</t>
        </is>
      </c>
    </row>
    <row r="13">
      <c r="A13" t="n">
        <v>9</v>
      </c>
      <c r="B13" t="inlineStr">
        <is>
          <t>Кріплення кабелю</t>
        </is>
      </c>
      <c r="C13" t="inlineStr">
        <is>
          <t>шт</t>
        </is>
      </c>
      <c r="D13" s="4" t="n">
        <v>467</v>
      </c>
      <c r="E13" s="5" t="n">
        <v>2</v>
      </c>
      <c r="F13" s="6">
        <f>IF(E13="","",D13*E13)</f>
        <v/>
      </c>
      <c r="G13" s="7" t="inlineStr">
        <is>
          <t>cable_fixing</t>
        </is>
      </c>
    </row>
    <row r="14">
      <c r="A14" t="n">
        <v>10</v>
      </c>
      <c r="B14" t="inlineStr">
        <is>
          <t>Корпус щита вбудований, 5 рядів, 60 мод.</t>
        </is>
      </c>
      <c r="C14" t="inlineStr">
        <is>
          <t>шт</t>
        </is>
      </c>
      <c r="D14" s="4" t="n">
        <v>1</v>
      </c>
      <c r="E14" s="5" t="n">
        <v>6000</v>
      </c>
      <c r="F14" s="6">
        <f>IF(E14="","",D14*E14)</f>
        <v/>
      </c>
      <c r="G14" s="7" t="inlineStr">
        <is>
          <t>board_enclosure</t>
        </is>
      </c>
    </row>
    <row r="15">
      <c r="A15" t="n">
        <v>11</v>
      </c>
      <c r="B15" t="inlineStr">
        <is>
          <t>Автомат 1P (на групу)</t>
        </is>
      </c>
      <c r="C15" t="inlineStr">
        <is>
          <t>шт</t>
        </is>
      </c>
      <c r="D15" s="4" t="n">
        <v>20</v>
      </c>
      <c r="E15" s="5" t="n">
        <v>140</v>
      </c>
      <c r="F15" s="6">
        <f>IF(E15="","",D15*E15)</f>
        <v/>
      </c>
      <c r="G15" s="7" t="inlineStr">
        <is>
          <t>breaker</t>
        </is>
      </c>
    </row>
    <row r="16">
      <c r="A16" t="n">
        <v>12</v>
      </c>
      <c r="B16" t="inlineStr">
        <is>
          <t>Вступний автомат 2P 40 A</t>
        </is>
      </c>
      <c r="C16" t="inlineStr">
        <is>
          <t>шт</t>
        </is>
      </c>
      <c r="D16" s="4" t="n">
        <v>1</v>
      </c>
      <c r="E16" s="5" t="n">
        <v>500</v>
      </c>
      <c r="F16" s="6">
        <f>IF(E16="","",D16*E16)</f>
        <v/>
      </c>
      <c r="G16" s="7" t="inlineStr">
        <is>
          <t>board_kit</t>
        </is>
      </c>
    </row>
    <row r="17">
      <c r="A17" t="n">
        <v>13</v>
      </c>
      <c r="B17" t="inlineStr">
        <is>
          <t>Реле напруги</t>
        </is>
      </c>
      <c r="C17" t="inlineStr">
        <is>
          <t>шт</t>
        </is>
      </c>
      <c r="D17" s="4" t="n">
        <v>1</v>
      </c>
      <c r="E17" s="5" t="n">
        <v>1500</v>
      </c>
      <c r="F17" s="6">
        <f>IF(E17="","",D17*E17)</f>
        <v/>
      </c>
      <c r="G17" s="7" t="inlineStr">
        <is>
          <t>board_kit</t>
        </is>
      </c>
    </row>
    <row r="18">
      <c r="A18" t="n">
        <v>14</v>
      </c>
      <c r="B18" t="inlineStr">
        <is>
          <t>ПЗВ 2P 40 A 30 мА</t>
        </is>
      </c>
      <c r="C18" t="inlineStr">
        <is>
          <t>шт</t>
        </is>
      </c>
      <c r="D18" s="4" t="n">
        <v>2</v>
      </c>
      <c r="E18" s="5" t="n">
        <v>1200</v>
      </c>
      <c r="F18" s="6">
        <f>IF(E18="","",D18*E18)</f>
        <v/>
      </c>
      <c r="G18" s="7" t="inlineStr">
        <is>
          <t>board_kit</t>
        </is>
      </c>
    </row>
    <row r="19">
      <c r="A19" t="n">
        <v>15</v>
      </c>
      <c r="B19" t="inlineStr">
        <is>
          <t>Розетка із заземленням</t>
        </is>
      </c>
      <c r="C19" t="inlineStr">
        <is>
          <t>шт</t>
        </is>
      </c>
      <c r="D19" s="4" t="n">
        <v>42</v>
      </c>
      <c r="E19" s="5" t="n"/>
      <c r="F19" s="6">
        <f>IF(E19="","",D19*E19)</f>
        <v/>
      </c>
      <c r="G19" s="7" t="inlineStr">
        <is>
          <t>socket</t>
        </is>
      </c>
    </row>
    <row r="20">
      <c r="A20" t="n">
        <v>16</v>
      </c>
      <c r="B20" t="inlineStr">
        <is>
          <t>Вимикач одноклавішний</t>
        </is>
      </c>
      <c r="C20" t="inlineStr">
        <is>
          <t>шт</t>
        </is>
      </c>
      <c r="D20" s="4" t="n">
        <v>14</v>
      </c>
      <c r="E20" s="5" t="n"/>
      <c r="F20" s="6">
        <f>IF(E20="","",D20*E20)</f>
        <v/>
      </c>
      <c r="G20" s="7" t="inlineStr">
        <is>
          <t>switch1</t>
        </is>
      </c>
    </row>
    <row r="21">
      <c r="A21" t="n">
        <v>17</v>
      </c>
      <c r="B21" t="inlineStr">
        <is>
          <t>Вимикач двоклавішний</t>
        </is>
      </c>
      <c r="C21" t="inlineStr">
        <is>
          <t>шт</t>
        </is>
      </c>
      <c r="D21" s="4" t="n">
        <v>1</v>
      </c>
      <c r="E21" s="5" t="n"/>
      <c r="F21" s="6">
        <f>IF(E21="","",D21*E21)</f>
        <v/>
      </c>
      <c r="G21" s="7" t="inlineStr">
        <is>
          <t>switch2</t>
        </is>
      </c>
    </row>
    <row r="22">
      <c r="A22" t="n">
        <v>18</v>
      </c>
      <c r="B22" t="inlineStr">
        <is>
          <t>Вимикач прохідний</t>
        </is>
      </c>
      <c r="C22" t="inlineStr">
        <is>
          <t>шт</t>
        </is>
      </c>
      <c r="D22" s="4" t="n">
        <v>2</v>
      </c>
      <c r="E22" s="5" t="n"/>
      <c r="F22" s="6">
        <f>IF(E22="","",D22*E22)</f>
        <v/>
      </c>
      <c r="G22" s="7" t="inlineStr">
        <is>
          <t>pass_switch</t>
        </is>
      </c>
    </row>
    <row r="23">
      <c r="A23" t="n">
        <v>19</v>
      </c>
      <c r="B23" t="inlineStr">
        <is>
          <t>Розетка інтернет</t>
        </is>
      </c>
      <c r="C23" t="inlineStr">
        <is>
          <t>шт</t>
        </is>
      </c>
      <c r="D23" s="4" t="n">
        <v>3</v>
      </c>
      <c r="E23" s="5" t="n"/>
      <c r="F23" s="6">
        <f>IF(E23="","",D23*E23)</f>
        <v/>
      </c>
      <c r="G23" s="7" t="inlineStr">
        <is>
          <t>data</t>
        </is>
      </c>
    </row>
    <row r="24">
      <c r="A24" t="n">
        <v>20</v>
      </c>
      <c r="B24" t="inlineStr">
        <is>
          <t>Розетка TV</t>
        </is>
      </c>
      <c r="C24" t="inlineStr">
        <is>
          <t>шт</t>
        </is>
      </c>
      <c r="D24" s="4" t="n">
        <v>1</v>
      </c>
      <c r="E24" s="5" t="n"/>
      <c r="F24" s="6">
        <f>IF(E24="","",D24*E24)</f>
        <v/>
      </c>
      <c r="G24" s="7" t="inlineStr">
        <is>
          <t>tv</t>
        </is>
      </c>
    </row>
    <row r="25">
      <c r="A25" t="n">
        <v>21</v>
      </c>
      <c r="B25" t="inlineStr">
        <is>
          <t>Рамка 1-постова</t>
        </is>
      </c>
      <c r="C25" t="inlineStr">
        <is>
          <t>шт</t>
        </is>
      </c>
      <c r="D25" s="4" t="n">
        <v>34</v>
      </c>
      <c r="E25" s="5" t="n"/>
      <c r="F25" s="6">
        <f>IF(E25="","",D25*E25)</f>
        <v/>
      </c>
      <c r="G25" s="7" t="inlineStr">
        <is>
          <t>frame.1</t>
        </is>
      </c>
    </row>
    <row r="26">
      <c r="A26" t="n">
        <v>22</v>
      </c>
      <c r="B26" t="inlineStr">
        <is>
          <t>Рамка 2-постова</t>
        </is>
      </c>
      <c r="C26" t="inlineStr">
        <is>
          <t>шт</t>
        </is>
      </c>
      <c r="D26" s="4" t="n">
        <v>8</v>
      </c>
      <c r="E26" s="5" t="n"/>
      <c r="F26" s="6">
        <f>IF(E26="","",D26*E26)</f>
        <v/>
      </c>
      <c r="G26" s="7" t="inlineStr">
        <is>
          <t>frame.2</t>
        </is>
      </c>
    </row>
    <row r="27">
      <c r="A27" t="n">
        <v>23</v>
      </c>
      <c r="B27" t="inlineStr">
        <is>
          <t>Рамка 3-постова</t>
        </is>
      </c>
      <c r="C27" t="inlineStr">
        <is>
          <t>шт</t>
        </is>
      </c>
      <c r="D27" s="4" t="n">
        <v>3</v>
      </c>
      <c r="E27" s="5" t="n"/>
      <c r="F27" s="6">
        <f>IF(E27="","",D27*E27)</f>
        <v/>
      </c>
      <c r="G27" s="7" t="inlineStr">
        <is>
          <t>frame.3</t>
        </is>
      </c>
    </row>
    <row r="28">
      <c r="A28" t="n">
        <v>24</v>
      </c>
      <c r="B28" t="inlineStr">
        <is>
          <t>Рамка 4-постова</t>
        </is>
      </c>
      <c r="C28" t="inlineStr">
        <is>
          <t>шт</t>
        </is>
      </c>
      <c r="D28" s="4" t="n">
        <v>1</v>
      </c>
      <c r="E28" s="5" t="n"/>
      <c r="F28" s="6">
        <f>IF(E28="","",D28*E28)</f>
        <v/>
      </c>
      <c r="G28" s="7" t="inlineStr">
        <is>
          <t>frame.4</t>
        </is>
      </c>
    </row>
    <row r="29">
      <c r="A29" t="inlineStr"/>
      <c r="B29" s="3" t="inlineStr">
        <is>
          <t>Разом: Матеріали</t>
        </is>
      </c>
      <c r="C29" t="inlineStr"/>
      <c r="D29" t="inlineStr"/>
      <c r="E29" t="inlineStr"/>
      <c r="F29" s="8">
        <f>SUM(F5:F28)</f>
        <v/>
      </c>
    </row>
    <row r="30">
      <c r="A30" t="inlineStr"/>
      <c r="B30" s="3" t="inlineStr">
        <is>
          <t>Роботи</t>
        </is>
      </c>
    </row>
    <row r="31">
      <c r="A31" t="n">
        <v>1</v>
      </c>
      <c r="B31" t="inlineStr">
        <is>
          <t>Прокладання кабелю</t>
        </is>
      </c>
      <c r="C31" t="inlineStr">
        <is>
          <t>м</t>
        </is>
      </c>
      <c r="D31" s="4" t="n">
        <v>364.3</v>
      </c>
      <c r="E31" s="5" t="n">
        <v>30</v>
      </c>
      <c r="F31" s="6">
        <f>IF(E31="","",D31*E31)</f>
        <v/>
      </c>
      <c r="G31" s="7" t="inlineStr">
        <is>
          <t>work.cable</t>
        </is>
      </c>
    </row>
    <row r="32">
      <c r="A32" t="n">
        <v>2</v>
      </c>
      <c r="B32" t="inlineStr">
        <is>
          <t>Штроба вузька, 1–2 кабелі</t>
        </is>
      </c>
      <c r="C32" t="inlineStr">
        <is>
          <t>м</t>
        </is>
      </c>
      <c r="D32" s="4" t="n">
        <v>46.5</v>
      </c>
      <c r="E32" s="5" t="n">
        <v>200</v>
      </c>
      <c r="F32" s="6">
        <f>IF(E32="","",D32*E32)</f>
        <v/>
      </c>
      <c r="G32" s="7" t="inlineStr">
        <is>
          <t>work.chase</t>
        </is>
      </c>
    </row>
    <row r="33">
      <c r="A33" t="n">
        <v>3</v>
      </c>
      <c r="B33" t="inlineStr">
        <is>
          <t>Штроба широка, 3–4 кабелі</t>
        </is>
      </c>
      <c r="C33" t="inlineStr">
        <is>
          <t>м</t>
        </is>
      </c>
      <c r="D33" s="4" t="n">
        <v>15.2</v>
      </c>
      <c r="E33" s="5" t="n">
        <v>300</v>
      </c>
      <c r="F33" s="6">
        <f>IF(E33="","",D33*E33)</f>
        <v/>
      </c>
      <c r="G33" s="7" t="inlineStr">
        <is>
          <t>work.chase_wide</t>
        </is>
      </c>
    </row>
    <row r="34">
      <c r="A34" t="n">
        <v>4</v>
      </c>
      <c r="B34" t="inlineStr">
        <is>
          <t>Свердління проходу крізь стіну</t>
        </is>
      </c>
      <c r="C34" t="inlineStr">
        <is>
          <t>шт</t>
        </is>
      </c>
      <c r="D34" s="4" t="n">
        <v>5</v>
      </c>
      <c r="E34" s="5" t="n">
        <v>150</v>
      </c>
      <c r="F34" s="6">
        <f>IF(E34="","",D34*E34)</f>
        <v/>
      </c>
      <c r="G34" s="7" t="inlineStr">
        <is>
          <t>work.wall_hole</t>
        </is>
      </c>
    </row>
    <row r="35">
      <c r="A35" t="n">
        <v>5</v>
      </c>
      <c r="B35" t="inlineStr">
        <is>
          <t>Свердління і встановлення підрозетника</t>
        </is>
      </c>
      <c r="C35" t="inlineStr">
        <is>
          <t>шт</t>
        </is>
      </c>
      <c r="D35" s="4" t="n">
        <v>63</v>
      </c>
      <c r="E35" s="5" t="n">
        <v>100</v>
      </c>
      <c r="F35" s="6">
        <f>IF(E35="","",D35*E35)</f>
        <v/>
      </c>
      <c r="G35" s="7" t="inlineStr">
        <is>
          <t>work.socket_box</t>
        </is>
      </c>
    </row>
    <row r="36">
      <c r="A36" t="n">
        <v>6</v>
      </c>
      <c r="B36" t="inlineStr">
        <is>
          <t>Монтаж коробки з опресуванням</t>
        </is>
      </c>
      <c r="C36" t="inlineStr">
        <is>
          <t>шт</t>
        </is>
      </c>
      <c r="D36" s="4" t="n">
        <v>13</v>
      </c>
      <c r="E36" s="5" t="n">
        <v>450</v>
      </c>
      <c r="F36" s="6">
        <f>IF(E36="","",D36*E36)</f>
        <v/>
      </c>
      <c r="G36" s="7" t="inlineStr">
        <is>
          <t>work.junction_box</t>
        </is>
      </c>
    </row>
    <row r="37">
      <c r="A37" t="n">
        <v>7</v>
      </c>
      <c r="B37" t="inlineStr">
        <is>
          <t>Встановлення щита</t>
        </is>
      </c>
      <c r="C37" t="inlineStr">
        <is>
          <t>шт</t>
        </is>
      </c>
      <c r="D37" s="4" t="n">
        <v>1</v>
      </c>
      <c r="E37" s="5" t="n">
        <v>2500</v>
      </c>
      <c r="F37" s="6">
        <f>IF(E37="","",D37*E37)</f>
        <v/>
      </c>
      <c r="G37" s="7" t="inlineStr">
        <is>
          <t>work.board_install</t>
        </is>
      </c>
    </row>
    <row r="38">
      <c r="A38" t="n">
        <v>8</v>
      </c>
      <c r="B38" t="inlineStr">
        <is>
          <t>Збирання щита</t>
        </is>
      </c>
      <c r="C38" t="inlineStr">
        <is>
          <t>мод.</t>
        </is>
      </c>
      <c r="D38" s="4" t="n">
        <v>28</v>
      </c>
      <c r="E38" s="5" t="n">
        <v>120</v>
      </c>
      <c r="F38" s="6">
        <f>IF(E38="","",D38*E38)</f>
        <v/>
      </c>
      <c r="G38" s="7" t="inlineStr">
        <is>
          <t>work.board_module</t>
        </is>
      </c>
    </row>
    <row r="39">
      <c r="A39" t="n">
        <v>9</v>
      </c>
      <c r="B39" t="inlineStr">
        <is>
          <t>Встановлення механізмів</t>
        </is>
      </c>
      <c r="C39" t="inlineStr">
        <is>
          <t>шт</t>
        </is>
      </c>
      <c r="D39" s="4" t="n">
        <v>63</v>
      </c>
      <c r="E39" s="5" t="n"/>
      <c r="F39" s="6">
        <f>IF(E39="","",D39*E39)</f>
        <v/>
      </c>
      <c r="G39" s="7" t="inlineStr">
        <is>
          <t>work.mechanism</t>
        </is>
      </c>
    </row>
    <row r="40">
      <c r="A40" t="n">
        <v>10</v>
      </c>
      <c r="B40" t="inlineStr">
        <is>
          <t>Маркування кінців кабелю</t>
        </is>
      </c>
      <c r="C40" t="inlineStr">
        <is>
          <t>шт</t>
        </is>
      </c>
      <c r="D40" s="4" t="n">
        <v>164</v>
      </c>
      <c r="E40" s="5" t="n">
        <v>10</v>
      </c>
      <c r="F40" s="6">
        <f>IF(E40="","",D40*E40)</f>
        <v/>
      </c>
      <c r="G40" s="7" t="inlineStr">
        <is>
          <t>work.marking</t>
        </is>
      </c>
    </row>
    <row r="41">
      <c r="A41" t="n">
        <v>11</v>
      </c>
      <c r="B41" t="inlineStr">
        <is>
          <t>Вимірювання опору ізоляції з протоколом</t>
        </is>
      </c>
      <c r="C41" t="inlineStr">
        <is>
          <t>гр.</t>
        </is>
      </c>
      <c r="D41" s="4" t="n">
        <v>20</v>
      </c>
      <c r="E41" s="5" t="n">
        <v>150</v>
      </c>
      <c r="F41" s="6">
        <f>IF(E41="","",D41*E41)</f>
        <v/>
      </c>
      <c r="G41" s="7" t="inlineStr">
        <is>
          <t>work.insulation_test</t>
        </is>
      </c>
    </row>
    <row r="42">
      <c r="A42" t="inlineStr"/>
      <c r="B42" s="3" t="inlineStr">
        <is>
          <t>Разом: Роботи</t>
        </is>
      </c>
      <c r="C42" t="inlineStr"/>
      <c r="D42" t="inlineStr"/>
      <c r="E42" t="inlineStr"/>
      <c r="F42" s="8">
        <f>SUM(F31:F41)</f>
        <v/>
      </c>
    </row>
    <row r="44">
      <c r="A44" t="inlineStr"/>
      <c r="B44" s="9" t="inlineStr">
        <is>
          <t>Усього, грн</t>
        </is>
      </c>
      <c r="C44" t="inlineStr"/>
      <c r="D44" t="inlineStr"/>
      <c r="E44" t="inlineStr"/>
      <c r="F44" s="10">
        <f>F29+F42</f>
        <v/>
      </c>
    </row>
    <row r="46">
      <c r="A46" t="inlineStr"/>
      <c r="B46" t="inlineStr">
        <is>
          <t>Без ціни: 12 поз. — до підсумку не входять, потрібна ціна в prices.yaml.</t>
        </is>
      </c>
    </row>
    <row r="47">
      <c r="A47" t="inlineStr"/>
      <c r="B47" t="inlineStr">
        <is>
          <t>Ціни: prices.yaml (2026-10) — орієнтир за ринком Києва, звірити з постачальником і бригадою</t>
        </is>
      </c>
    </row>
    <row r="48">
      <c r="A48" t="inlineStr"/>
      <c r="B48" t="inlineStr">
        <is>
          <t>Кабель — із запасом 15 %; прокладання — за фактичною довжиною</t>
        </is>
      </c>
    </row>
    <row r="49">
      <c r="A49" t="inlineStr"/>
      <c r="B49" t="inlineStr">
        <is>
          <t>Штроби: спільна, якщо спуски ближче 150 мм, до 4 кабелів; до 2 кабелів — вузька, більше — широка; силові і слабкострумові — в різних штробах</t>
        </is>
      </c>
    </row>
    <row r="50">
      <c r="A50" t="inlineStr"/>
      <c r="B50" t="inlineStr">
        <is>
          <t>Проходи крізь стіни — над дверима і прорізами для трас по стелі, до 4 кабелів в отворі; траси по підлозі йдуть під прорізом без свердління</t>
        </is>
      </c>
    </row>
    <row r="51">
      <c r="A51" t="inlineStr"/>
      <c r="B51" t="inlineStr">
        <is>
          <t>Кріплення кабелю — крок 400 мм</t>
        </is>
      </c>
    </row>
    <row r="52">
      <c r="A52" t="inlineStr"/>
      <c r="B52" t="inlineStr">
        <is>
          <t>Опресування: у кожній коробці L, N, PE і по з'єднанню на клавішу вимикача</t>
        </is>
      </c>
    </row>
    <row r="53">
      <c r="A53" t="inlineStr"/>
      <c r="B53" t="inlineStr">
        <is>
          <t>Виведення кабелю в щиті — до підлоги (1700 мм), на інших підключеннях — 200 мм</t>
        </is>
      </c>
    </row>
    <row r="54">
      <c r="A54" t="inlineStr"/>
      <c r="B54" t="inlineStr">
        <is>
          <t>Окремі лінії від щита без коробок: QF10, QF11, QF12, QF13, QF14, QF15, QF16, QF17, QF18, QF19</t>
        </is>
      </c>
    </row>
    <row r="55">
      <c r="A55" t="inlineStr"/>
      <c r="B55" t="inlineStr">
        <is>
          <t>Не входить: LED-підсвітка (стрічка, профіль, блоки живлення), світильники, введення живлення</t>
        </is>
      </c>
    </row>
    <row r="56">
      <c r="A56" t="inlineStr"/>
      <c r="B56" t="inlineStr">
        <is>
          <t>Висота стелі 2700 мм — припущення (у room.yaml не вказана)</t>
        </is>
      </c>
    </row>
    <row r="57">
      <c r="A57" t="inlineStr"/>
      <c r="B57" t="inlineStr">
        <is>
          <t>Відкриті питання з електрики: q4, q5, q7, q8, q9 — обсяги можуть змінитися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2026-10-28T13:24:26Z</dcterms:created>
  <dcterms:modified xsi:type="dcterms:W3CDTF">2026-10-28T13:24:26Z</dcterms:modified>
</cp:coreProperties>
</file>